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umber traceability" sheetId="1" state="visible" r:id="rId3"/>
    <sheet name="Sources" sheetId="2" state="visible" r:id="rId4"/>
    <sheet name="Open points" sheetId="3" state="visible" r:id="rId5"/>
  </sheets>
  <definedNames>
    <definedName function="false" hidden="true" localSheetId="0" name="_xlnm._FilterDatabase" vbProcedure="false">'Number traceability'!$A$4:$G$40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<sst xmlns="http://schemas.openxmlformats.org/spreadsheetml/2006/main" count="274" uniqueCount="150">
  <si>
    <t xml:space="preserve">UTCL Case Studies — source for every number on the slides</t>
  </si>
  <si>
    <t xml:space="preserve">One row per claim. 'Quote from source' is copied verbatim from the source named in the 'Source' column. Source details are on the Sources tab; anything unresolved is on Open points.</t>
  </si>
  <si>
    <t xml:space="preserve">Slide</t>
  </si>
  <si>
    <t xml:space="preserve">Case study</t>
  </si>
  <si>
    <t xml:space="preserve">Where on slide</t>
  </si>
  <si>
    <t xml:space="preserve">What the slide says</t>
  </si>
  <si>
    <t xml:space="preserve">Source</t>
  </si>
  <si>
    <t xml:space="preserve">Quote from source</t>
  </si>
  <si>
    <t xml:space="preserve">Status</t>
  </si>
  <si>
    <t xml:space="preserve">Cyclone jamming</t>
  </si>
  <si>
    <t xml:space="preserve">Context</t>
  </si>
  <si>
    <t xml:space="preserve">7,000 TPD kiln line</t>
  </si>
  <si>
    <t xml:space="preserve">S1</t>
  </si>
  <si>
    <t xml:space="preserve">"ek leading cement manufacturer, 7000 TPD ke line"</t>
  </si>
  <si>
    <t xml:space="preserve">From discussion</t>
  </si>
  <si>
    <t xml:space="preserve">Scope</t>
  </si>
  <si>
    <t xml:space="preserve">Two-string, six-stage preheater; most blockages in Cyclone 6</t>
  </si>
  <si>
    <t xml:space="preserve">"the scope was to cover a two string six stage cyclone problem and the majority of the problem was in the bottom cyclone only"</t>
  </si>
  <si>
    <t xml:space="preserve">Cyclone jamming and kiln ring formation identification</t>
  </si>
  <si>
    <t xml:space="preserve">"The scope was to create a comprehensive solution around cyclone jamming and kiln ring formation identification"</t>
  </si>
  <si>
    <t xml:space="preserve">Approach</t>
  </si>
  <si>
    <t xml:space="preserve">DCS and SCADA, chemistry data, CCR logbook events</t>
  </si>
  <si>
    <t xml:space="preserve">"we have integrated data from DCS and SCADA ... and then we integrated chemistry data, we integrated actual historical events from the CCR logbook"</t>
  </si>
  <si>
    <t xml:space="preserve">Risk mechanism built for Cyclone 6; lead time with confidence score</t>
  </si>
  <si>
    <t xml:space="preserve">"only for the six, we created this model mechanism to basically identify the risk at a given point and then ... give a lead time of when the cyclone jamming might happen with the confidence score ... along with the contributing signal and recommendation to the operator"</t>
  </si>
  <si>
    <t xml:space="preserve">Outcome</t>
  </si>
  <si>
    <t xml:space="preserve">9-month pre and post study on the same kiln line</t>
  </si>
  <si>
    <t xml:space="preserve">"9 months pre and post study"</t>
  </si>
  <si>
    <t xml:space="preserve">Before: 13 kiln shutdowns from Cyclone-6 blockage, 46 hours of unplanned downtime</t>
  </si>
  <si>
    <t xml:space="preserve">"In pre 9 months, they were around 13 kiln shutdown due to 6 cyclone blockage which resulted into 46 hours of unplanned downtime"</t>
  </si>
  <si>
    <t xml:space="preserve">After: 3 blockages, 13 hours of unplanned downtime — ~70% reduction</t>
  </si>
  <si>
    <t xml:space="preserve">"after implementing the solution in 9 months, there were three blockages only contributing 13 hours of shutdown ... Almost 69 70% in unplanned downtimes"</t>
  </si>
  <si>
    <t xml:space="preserve">33 hours of kiln downtime recovered, about 9,600 t of clinker at 7,000 TPD</t>
  </si>
  <si>
    <t xml:space="preserve">46 − 13 = 33 hours. 7,000 TPD × 33/24 = 9,625 t. You quoted "36 hours" in the discussion; you confirmed the arithmetic figure of 33 hours is the one to use.</t>
  </si>
  <si>
    <t xml:space="preserve">Calculated — you confirmed 33 hrs</t>
  </si>
  <si>
    <t xml:space="preserve">Fewer kiln startups also improved specific heat consumption</t>
  </si>
  <si>
    <t xml:space="preserve">"because there were lesser startup, SSC was also improved". You confirmed this means specific heat consumption, stated directionally with no number.</t>
  </si>
  <si>
    <t xml:space="preserve">From discussion — no number</t>
  </si>
  <si>
    <t xml:space="preserve">C3S and TSR</t>
  </si>
  <si>
    <t xml:space="preserve">Predict C3S; guide TSR optimisation</t>
  </si>
  <si>
    <t xml:space="preserve">"created C3S prediction model, scope was to predict a C3S ... and give recommendation on the TSR optimization"</t>
  </si>
  <si>
    <t xml:space="preserve">Full input list [TBC, Vivek]</t>
  </si>
  <si>
    <t xml:space="preserve">S3</t>
  </si>
  <si>
    <t xml:space="preserve">"ye input de dega na Vivek ko ... C3S ke liye kya data input, kya kya data integrate kiye the"</t>
  </si>
  <si>
    <t xml:space="preserve">PENDING — Vivek</t>
  </si>
  <si>
    <t xml:space="preserve">C3S predicted at every 15-minute interval</t>
  </si>
  <si>
    <t xml:space="preserve">"we were predicting C3S at every 15 minute interval, lab test aane ki jagah"</t>
  </si>
  <si>
    <t xml:space="preserve">C3S trend drives operator recommendations on TSR</t>
  </si>
  <si>
    <t xml:space="preserve">"based on the C3S trend we were giving input to the operator on the TSR side optimization"</t>
  </si>
  <si>
    <t xml:space="preserve">Standard deviation in C3S reduced — pre [TBC] to post [TBC]</t>
  </si>
  <si>
    <t xml:space="preserve">S4</t>
  </si>
  <si>
    <t xml:space="preserve">"standard deviation in the C3S got reduced. Pre and post mein study daal dena, woh numbers GCCA wale story se mil jayenge"</t>
  </si>
  <si>
    <t xml:space="preserve">PENDING — GCCA numbers</t>
  </si>
  <si>
    <t xml:space="preserve">TSR increase of approximately 1.5–2 percentage points (indicative)</t>
  </si>
  <si>
    <t xml:space="preserve">"tentatively ... simple rakhne ke liye 1.5 to 2 points, 1.5 to 2% TSR increment". Labelled indicative on the slide because you called it tentative.</t>
  </si>
  <si>
    <t xml:space="preserve">From discussion — indicative</t>
  </si>
  <si>
    <t xml:space="preserve">OMITTED</t>
  </si>
  <si>
    <t xml:space="preserve">No SHC or SEC impact claimed</t>
  </si>
  <si>
    <t xml:space="preserve">"iska SSC, SCC pe kuch impact nahi likhenge, bas yahi likhenge ki process variability kam ho gayi"</t>
  </si>
  <si>
    <t xml:space="preserve">Deliberately omitted</t>
  </si>
  <si>
    <t xml:space="preserve">Predictive maintenance</t>
  </si>
  <si>
    <t xml:space="preserve">600 assets across four plants</t>
  </si>
  <si>
    <t xml:space="preserve">"the scope was cover up 600 assets across four plants for a condition based predictive maintenance solution for rotating equipments"</t>
  </si>
  <si>
    <t xml:space="preserve">From discussion — supersedes older study</t>
  </si>
  <si>
    <t xml:space="preserve">Triaxial vibration sensors; vibration in three directions, noise and temperature</t>
  </si>
  <si>
    <t xml:space="preserve">"we deployed the tri-axial vibration sensors and based on the data collected ... teeno direction ka vibration, noise and temperature"</t>
  </si>
  <si>
    <t xml:space="preserve">Daily severity and health score; low, medium, high and highest risk categories</t>
  </si>
  <si>
    <t xml:space="preserve">"the model was predicting on a daily basis the severity, health score of each asset, and then bifurcate kar raha tha in ... low risk, medium risk, high risk, and highest risk categories"</t>
  </si>
  <si>
    <t xml:space="preserve">Bearing faults; structural looseness, misalignment, rotating looseness</t>
  </si>
  <si>
    <t xml:space="preserve">"Mainly around bearing faults and mechanical related wear and tear issues like structural looseness, misalignment, rotating looseness"</t>
  </si>
  <si>
    <t xml:space="preserve">Unplanned downtime reduced 75%</t>
  </si>
  <si>
    <t xml:space="preserve">"reduce unplanned downtimes by 75%"</t>
  </si>
  <si>
    <t xml:space="preserve">Maintenance cost reduced 20%</t>
  </si>
  <si>
    <t xml:space="preserve">"maintenance cost by 20%"</t>
  </si>
  <si>
    <t xml:space="preserve">1,500 man-days saved in the first 6 months</t>
  </si>
  <si>
    <t xml:space="preserve">"1500 man days in the ... in first 6 months itself"</t>
  </si>
  <si>
    <t xml:space="preserve">ROI realised in under 1 year</t>
  </si>
  <si>
    <t xml:space="preserve">"ROI realized less than 1 year"</t>
  </si>
  <si>
    <t xml:space="preserve">REMOVED</t>
  </si>
  <si>
    <t xml:space="preserve">"15+ critical defects" — taken off the slide</t>
  </si>
  <si>
    <t xml:space="preserve">"a critical 15 plus toh nahi likhenge"</t>
  </si>
  <si>
    <t xml:space="preserve">Removed on your instruction</t>
  </si>
  <si>
    <t xml:space="preserve">Captive power plant</t>
  </si>
  <si>
    <t xml:space="preserve">29 soot blowers on the 16 MW recovery boiler</t>
  </si>
  <si>
    <t xml:space="preserve">S2</t>
  </si>
  <si>
    <t xml:space="preserve">"Delivered closed loop AI based sootblower automation for 16 MW recovery boiler having 29 soot blowers."</t>
  </si>
  <si>
    <t xml:space="preserve">Verified</t>
  </si>
  <si>
    <t xml:space="preserve">7 feeders on the 21 MW AFBC boiler (in progress)</t>
  </si>
  <si>
    <t xml:space="preserve">"Implementing automated process control for 7 coal feeders of 21 MW power plant with AFBC boiler to reduce process variability and maintain bed stability."</t>
  </si>
  <si>
    <t xml:space="preserve">Verified — 'in progress' per source</t>
  </si>
  <si>
    <t xml:space="preserve">21 MW cogeneration plant; domain SME of 40+ years</t>
  </si>
  <si>
    <t xml:space="preserve">"Developed AI-agents for a 21 MW cogeneration plant ... in collaboration with a domain SME with 40+ years of experience."</t>
  </si>
  <si>
    <t xml:space="preserve">Auxiliary steam saved: 20 TPD, worth ₹1 Cr a year</t>
  </si>
  <si>
    <t xml:space="preserve">"Saved 20 TPD aux steam worth ₹1 cr in annual savings."</t>
  </si>
  <si>
    <t xml:space="preserve">Verified — one saving, not two</t>
  </si>
  <si>
    <t xml:space="preserve">Power balance</t>
  </si>
  <si>
    <t xml:space="preserve">Power allocation across plants within a state, day-ahead and intraday</t>
  </si>
  <si>
    <t xml:space="preserve">"the leading metal companies were doing power transfer among their plants within a state and they were doing it manually ... scope was to minimize the losses and optimize the overall power allocation to different plants"</t>
  </si>
  <si>
    <t xml:space="preserve">Day-ahead data for all 96 slots</t>
  </si>
  <si>
    <t xml:space="preserve">"the day ahead data was coming for all their 96 slots along with the generation and consumption"</t>
  </si>
  <si>
    <t xml:space="preserve">CTU and STU compliances held in configuration mode</t>
  </si>
  <si>
    <t xml:space="preserve">"CTU and STU ... the compliances were built ... in the model system and were configuration mode mein rakha hai so if any new compliance comes from the utility side, so that can be modified"</t>
  </si>
  <si>
    <t xml:space="preserve">Two to three slots (30–45 minutes) typically lost to manual reporting</t>
  </si>
  <si>
    <t xml:space="preserve">"they typically lose around two to three slots because they have to report it to SLDC and in that two to three slot which is 30 minutes to 45 minutes ... they might be giving free energy to grid or they might be taking a costly energy from the grid"</t>
  </si>
  <si>
    <t xml:space="preserve">Reporting lag to the SLDC cut from 30–45 minutes to about a minute</t>
  </si>
  <si>
    <t xml:space="preserve">"the lag in reporting to the SLDC is, you know, say one minute instead of a 30 minute 45 minute the earlier thing"</t>
  </si>
  <si>
    <t xml:space="preserve">Potential saving of around ₹6 Cr a year</t>
  </si>
  <si>
    <t xml:space="preserve">"potential saving because of this is around say ... 6 crore a year"</t>
  </si>
  <si>
    <t xml:space="preserve">From discussion — stated as potential</t>
  </si>
  <si>
    <t xml:space="preserve">Total claims listed:</t>
  </si>
  <si>
    <t xml:space="preserve">Still pending input:</t>
  </si>
  <si>
    <t xml:space="preserve">Sourced and settled:</t>
  </si>
  <si>
    <t xml:space="preserve">Sources</t>
  </si>
  <si>
    <t xml:space="preserve">The rewritten case studies come from your internal discussion of 24 Sep 2026 and the Faclon profile PDF. Earlier data-room case studies are no longer used.</t>
  </si>
  <si>
    <t xml:space="preserve">Ref</t>
  </si>
  <si>
    <t xml:space="preserve">Where it lives</t>
  </si>
  <si>
    <t xml:space="preserve">Detail</t>
  </si>
  <si>
    <t xml:space="preserve">Notes</t>
  </si>
  <si>
    <t xml:space="preserve">Internal discussion with senior team member, 24 Sep 2026</t>
  </si>
  <si>
    <t xml:space="preserve">Transcript you supplied</t>
  </si>
  <si>
    <t xml:space="preserve">Voice-note transcript, 13:05–13:16</t>
  </si>
  <si>
    <t xml:space="preserve">Primary source for the rewritten case studies. Supersedes the earlier data-room figures wherever the two disagree.</t>
  </si>
  <si>
    <t xml:space="preserve">Faclon Labs Profile 2026.pdf — Customer Cases page</t>
  </si>
  <si>
    <t xml:space="preserve">Local file you supplied</t>
  </si>
  <si>
    <t xml:space="preserve">Proposals/UTCL/CV Page/Faclon Labs Profile 2026.pdf</t>
  </si>
  <si>
    <t xml:space="preserve">Sole source for the captive power plant slide (sootblower, coal feeder, AI-agent RCA).</t>
  </si>
  <si>
    <t xml:space="preserve">Pending — Vivek</t>
  </si>
  <si>
    <t xml:space="preserve">To be supplied</t>
  </si>
  <si>
    <t xml:space="preserve">C3S model: the list of data inputs integrated</t>
  </si>
  <si>
    <t xml:space="preserve">Marked [TBC] on the slide until supplied.</t>
  </si>
  <si>
    <t xml:space="preserve">Pending — GCCA story</t>
  </si>
  <si>
    <t xml:space="preserve">C3S: pre and post standard-deviation figures</t>
  </si>
  <si>
    <t xml:space="preserve">Open points to settle before the deck goes out</t>
  </si>
  <si>
    <t xml:space="preserve">Point</t>
  </si>
  <si>
    <t xml:space="preserve">C3S input list — pending</t>
  </si>
  <si>
    <t xml:space="preserve">Vivek to supply the data inputs integrated for the C3S model. Marked [TBC] in the Approach box.</t>
  </si>
  <si>
    <t xml:space="preserve">C3S standard deviation — pending</t>
  </si>
  <si>
    <t xml:space="preserve">Pre and post SD figures to come from the GCCA story. Marked [TBC] in the Outcomes box.</t>
  </si>
  <si>
    <t xml:space="preserve">Cyclone: 33 vs 36 hours</t>
  </si>
  <si>
    <t xml:space="preserve">You quoted 36 hours in the discussion; 46 − 13 = 33. The slide uses 33 hours (≈ 9,600 t at 7,000 TPD) on your confirmation. Revisit if the 36 covers something extra.</t>
  </si>
  <si>
    <t xml:space="preserve">Cyclone: line capacity</t>
  </si>
  <si>
    <t xml:space="preserve">You said 7,000 TPD for the line and 7,500 TPD when working out the clinker; the earlier CASI document said 5,000 TPD. The slide uses 7,000 TPD on your confirmation.</t>
  </si>
  <si>
    <t xml:space="preserve">Predictive maintenance scale</t>
  </si>
  <si>
    <t xml:space="preserve">The discussion says 600 assets across 4 plants; the written implementation study says 200+ machines / 450+ sensors / 3 plants. The slide uses the discussion figure on your confirmation.</t>
  </si>
  <si>
    <t xml:space="preserve">Captive power plant slide</t>
  </si>
  <si>
    <t xml:space="preserve">Rests entirely on the Faclon profile PDF. That PDF does not name the client for the sootblower, coal-feeder or RCA items. The client is anonymised on the slide, so the point is moot for now.</t>
  </si>
  <si>
    <t xml:space="preserve">All clients anonymised</t>
  </si>
  <si>
    <t xml:space="preserve">No client is named on any of the five slides, per your instruction. Descriptors used: a leading cement manufacturer, a leading thermal power producer, an integrated pulp and paper mill, a leading metals group.</t>
  </si>
  <si>
    <t xml:space="preserve">Dropped case studies</t>
  </si>
  <si>
    <t xml:space="preserve">Kiln heat balance and mill grinding are no longer in the deck, per your instruction that heat balance is not work we actually do.</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</si>
</sst>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3"/>
      <color rgb="FF1F4E79"/>
      <name val="Arial"/>
      <family val="0"/>
      <charset val="1"/>
    </font>
    <font>
      <i val="true"/>
      <sz val="9"/>
      <color rgb="FF595959"/>
      <name val="Arial"/>
      <family val="0"/>
      <charset val="1"/>
    </font>
    <font>
      <b val="true"/>
      <sz val="10"/>
      <color rgb="FFFFFFFF"/>
      <name val="Arial"/>
      <family val="0"/>
      <charset val="1"/>
    </font>
    <font>
      <sz val="9"/>
      <name val="Arial"/>
      <family val="0"/>
      <charset val="1"/>
    </font>
    <font>
      <b val="true"/>
      <sz val="9"/>
      <color rgb="FFC00000"/>
      <name val="Arial"/>
      <family val="0"/>
      <charset val="1"/>
    </font>
    <font>
      <b val="true"/>
      <sz val="9"/>
      <name val="Arial"/>
      <family val="0"/>
      <charset val="1"/>
    </font>
  </fonts>
  <fills count="5">
    <fill>
      <patternFill patternType="none"/>
    </fill>
    <fill>
      <patternFill patternType="gray125"/>
    </fill>
    <fill>
      <patternFill patternType="solid">
        <fgColor rgb="FF1F4E79"/>
        <bgColor rgb="FF003366"/>
      </patternFill>
    </fill>
    <fill>
      <patternFill patternType="solid">
        <fgColor rgb="FFF2F7FB"/>
        <bgColor rgb="FFFFFFFF"/>
      </patternFill>
    </fill>
    <fill>
      <patternFill patternType="solid">
        <fgColor rgb="FFFFF2CC"/>
        <bgColor rgb="FFF2F7FB"/>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center" vertical="top" textRotation="0" wrapText="fals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8" fillId="3"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patternType="solid">
          <fgColor rgb="FF1F4E79"/>
          <bgColor rgb="FF000000"/>
        </patternFill>
      </fill>
    </dxf>
    <dxf>
      <fill>
        <patternFill patternType="solid">
          <fgColor rgb="FFF2F7FB"/>
          <bgColor rgb="FF000000"/>
        </patternFill>
      </fill>
    </dxf>
    <dxf>
      <fill>
        <patternFill patternType="solid">
          <bgColor rgb="FF000000"/>
        </patternFill>
      </fill>
    </dxf>
    <dxf>
      <fill>
        <patternFill patternType="solid">
          <fgColor rgb="FFFFFFFF"/>
          <bgColor rgb="FF000000"/>
        </patternFill>
      </fill>
    </dxf>
    <dxf>
      <fill>
        <patternFill patternType="solid">
          <fgColor rgb="FFC0000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F2F7FB"/>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21"/>
    <col collapsed="false" customWidth="true" hidden="false" outlineLevel="0" max="3" min="3" style="0" width="14"/>
    <col collapsed="false" customWidth="true" hidden="false" outlineLevel="0" max="4" min="4" style="0" width="44"/>
    <col collapsed="false" customWidth="true" hidden="false" outlineLevel="0" max="5" min="5" style="0" width="8"/>
    <col collapsed="false" customWidth="true" hidden="false" outlineLevel="0" max="6" min="6" style="0" width="66"/>
    <col collapsed="false" customWidth="true" hidden="false" outlineLevel="0" max="7" min="7" style="0" width="22"/>
  </cols>
  <sheetData>
    <row r="1" customFormat="false" ht="16.15" hidden="false" customHeight="false" outlineLevel="0" collapsed="false">
      <c r="A1" s="1" t="s">
        <v>0</v>
      </c>
    </row>
    <row r="2" customFormat="false" ht="15" hidden="false" customHeight="false" outlineLevel="0" collapsed="false">
      <c r="A2" s="2" t="s">
        <v>1</v>
      </c>
    </row>
    <row r="4" customFormat="false" ht="30" hidden="false" customHeight="true" outlineLevel="0" collapsed="false">
      <c r="A4" s="3" t="s">
        <v>2</v>
      </c>
      <c r="B4" s="3" t="s">
        <v>3</v>
      </c>
      <c r="C4" s="3" t="s">
        <v>4</v>
      </c>
      <c r="D4" s="3" t="s">
        <v>5</v>
      </c>
      <c r="E4" s="3" t="s">
        <v>6</v>
      </c>
      <c r="F4" s="3" t="s">
        <v>7</v>
      </c>
      <c r="G4" s="3" t="s">
        <v>8</v>
      </c>
    </row>
    <row r="5" customFormat="false" ht="15" hidden="false" customHeight="false" outlineLevel="0" collapsed="false">
      <c r="A5" s="4" t="n">
        <v>1</v>
      </c>
      <c r="B5" s="5" t="s">
        <v>9</v>
      </c>
      <c r="C5" s="5" t="s">
        <v>10</v>
      </c>
      <c r="D5" s="5" t="s">
        <v>11</v>
      </c>
      <c r="E5" s="5" t="s">
        <v>12</v>
      </c>
      <c r="F5" s="5" t="s">
        <v>13</v>
      </c>
      <c r="G5" s="5" t="s">
        <v>14</v>
      </c>
    </row>
    <row r="6" customFormat="false" ht="22.35" hidden="false" customHeight="false" outlineLevel="0" collapsed="false">
      <c r="A6" s="6" t="n">
        <v>1</v>
      </c>
      <c r="B6" s="7" t="s">
        <v>9</v>
      </c>
      <c r="C6" s="7" t="s">
        <v>15</v>
      </c>
      <c r="D6" s="7" t="s">
        <v>16</v>
      </c>
      <c r="E6" s="7" t="s">
        <v>12</v>
      </c>
      <c r="F6" s="7" t="s">
        <v>17</v>
      </c>
      <c r="G6" s="7" t="s">
        <v>14</v>
      </c>
    </row>
    <row r="7" customFormat="false" ht="22.35" hidden="false" customHeight="false" outlineLevel="0" collapsed="false">
      <c r="A7" s="4" t="n">
        <v>1</v>
      </c>
      <c r="B7" s="5" t="s">
        <v>9</v>
      </c>
      <c r="C7" s="5" t="s">
        <v>15</v>
      </c>
      <c r="D7" s="5" t="s">
        <v>18</v>
      </c>
      <c r="E7" s="5" t="s">
        <v>12</v>
      </c>
      <c r="F7" s="5" t="s">
        <v>19</v>
      </c>
      <c r="G7" s="5" t="s">
        <v>14</v>
      </c>
    </row>
    <row r="8" customFormat="false" ht="22.35" hidden="false" customHeight="false" outlineLevel="0" collapsed="false">
      <c r="A8" s="6" t="n">
        <v>1</v>
      </c>
      <c r="B8" s="7" t="s">
        <v>9</v>
      </c>
      <c r="C8" s="7" t="s">
        <v>20</v>
      </c>
      <c r="D8" s="7" t="s">
        <v>21</v>
      </c>
      <c r="E8" s="7" t="s">
        <v>12</v>
      </c>
      <c r="F8" s="7" t="s">
        <v>22</v>
      </c>
      <c r="G8" s="7" t="s">
        <v>14</v>
      </c>
    </row>
    <row r="9" customFormat="false" ht="32.8" hidden="false" customHeight="false" outlineLevel="0" collapsed="false">
      <c r="A9" s="4" t="n">
        <v>1</v>
      </c>
      <c r="B9" s="5" t="s">
        <v>9</v>
      </c>
      <c r="C9" s="5" t="s">
        <v>20</v>
      </c>
      <c r="D9" s="5" t="s">
        <v>23</v>
      </c>
      <c r="E9" s="5" t="s">
        <v>12</v>
      </c>
      <c r="F9" s="5" t="s">
        <v>24</v>
      </c>
      <c r="G9" s="5" t="s">
        <v>14</v>
      </c>
    </row>
    <row r="10" customFormat="false" ht="15" hidden="false" customHeight="false" outlineLevel="0" collapsed="false">
      <c r="A10" s="6" t="n">
        <v>1</v>
      </c>
      <c r="B10" s="7" t="s">
        <v>9</v>
      </c>
      <c r="C10" s="7" t="s">
        <v>25</v>
      </c>
      <c r="D10" s="7" t="s">
        <v>26</v>
      </c>
      <c r="E10" s="7" t="s">
        <v>12</v>
      </c>
      <c r="F10" s="7" t="s">
        <v>27</v>
      </c>
      <c r="G10" s="7" t="s">
        <v>14</v>
      </c>
    </row>
    <row r="11" customFormat="false" ht="22.35" hidden="false" customHeight="false" outlineLevel="0" collapsed="false">
      <c r="A11" s="4" t="n">
        <v>1</v>
      </c>
      <c r="B11" s="5" t="s">
        <v>9</v>
      </c>
      <c r="C11" s="5" t="s">
        <v>25</v>
      </c>
      <c r="D11" s="5" t="s">
        <v>28</v>
      </c>
      <c r="E11" s="5" t="s">
        <v>12</v>
      </c>
      <c r="F11" s="5" t="s">
        <v>29</v>
      </c>
      <c r="G11" s="5" t="s">
        <v>14</v>
      </c>
    </row>
    <row r="12" customFormat="false" ht="22.35" hidden="false" customHeight="false" outlineLevel="0" collapsed="false">
      <c r="A12" s="6" t="n">
        <v>1</v>
      </c>
      <c r="B12" s="7" t="s">
        <v>9</v>
      </c>
      <c r="C12" s="7" t="s">
        <v>25</v>
      </c>
      <c r="D12" s="7" t="s">
        <v>30</v>
      </c>
      <c r="E12" s="7" t="s">
        <v>12</v>
      </c>
      <c r="F12" s="7" t="s">
        <v>31</v>
      </c>
      <c r="G12" s="7" t="s">
        <v>14</v>
      </c>
    </row>
    <row r="13" customFormat="false" ht="22.35" hidden="false" customHeight="false" outlineLevel="0" collapsed="false">
      <c r="A13" s="4" t="n">
        <v>1</v>
      </c>
      <c r="B13" s="5" t="s">
        <v>9</v>
      </c>
      <c r="C13" s="5" t="s">
        <v>25</v>
      </c>
      <c r="D13" s="5" t="s">
        <v>32</v>
      </c>
      <c r="E13" s="5" t="s">
        <v>12</v>
      </c>
      <c r="F13" s="5" t="s">
        <v>33</v>
      </c>
      <c r="G13" s="8" t="s">
        <v>34</v>
      </c>
    </row>
    <row r="14" customFormat="false" ht="22.35" hidden="false" customHeight="false" outlineLevel="0" collapsed="false">
      <c r="A14" s="6" t="n">
        <v>1</v>
      </c>
      <c r="B14" s="7" t="s">
        <v>9</v>
      </c>
      <c r="C14" s="7" t="s">
        <v>25</v>
      </c>
      <c r="D14" s="7" t="s">
        <v>35</v>
      </c>
      <c r="E14" s="7" t="s">
        <v>12</v>
      </c>
      <c r="F14" s="7" t="s">
        <v>36</v>
      </c>
      <c r="G14" s="7" t="s">
        <v>37</v>
      </c>
    </row>
    <row r="15" customFormat="false" ht="22.35" hidden="false" customHeight="false" outlineLevel="0" collapsed="false">
      <c r="A15" s="4" t="n">
        <v>2</v>
      </c>
      <c r="B15" s="5" t="s">
        <v>38</v>
      </c>
      <c r="C15" s="5" t="s">
        <v>15</v>
      </c>
      <c r="D15" s="5" t="s">
        <v>39</v>
      </c>
      <c r="E15" s="5" t="s">
        <v>12</v>
      </c>
      <c r="F15" s="5" t="s">
        <v>40</v>
      </c>
      <c r="G15" s="5" t="s">
        <v>14</v>
      </c>
    </row>
    <row r="16" customFormat="false" ht="15" hidden="false" customHeight="false" outlineLevel="0" collapsed="false">
      <c r="A16" s="6" t="n">
        <v>2</v>
      </c>
      <c r="B16" s="7" t="s">
        <v>38</v>
      </c>
      <c r="C16" s="7" t="s">
        <v>20</v>
      </c>
      <c r="D16" s="7" t="s">
        <v>41</v>
      </c>
      <c r="E16" s="7" t="s">
        <v>42</v>
      </c>
      <c r="F16" s="7" t="s">
        <v>43</v>
      </c>
      <c r="G16" s="9" t="s">
        <v>44</v>
      </c>
    </row>
    <row r="17" customFormat="false" ht="15" hidden="false" customHeight="false" outlineLevel="0" collapsed="false">
      <c r="A17" s="4" t="n">
        <v>2</v>
      </c>
      <c r="B17" s="5" t="s">
        <v>38</v>
      </c>
      <c r="C17" s="5" t="s">
        <v>20</v>
      </c>
      <c r="D17" s="5" t="s">
        <v>45</v>
      </c>
      <c r="E17" s="5" t="s">
        <v>12</v>
      </c>
      <c r="F17" s="5" t="s">
        <v>46</v>
      </c>
      <c r="G17" s="5" t="s">
        <v>14</v>
      </c>
    </row>
    <row r="18" customFormat="false" ht="15" hidden="false" customHeight="false" outlineLevel="0" collapsed="false">
      <c r="A18" s="6" t="n">
        <v>2</v>
      </c>
      <c r="B18" s="7" t="s">
        <v>38</v>
      </c>
      <c r="C18" s="7" t="s">
        <v>20</v>
      </c>
      <c r="D18" s="7" t="s">
        <v>47</v>
      </c>
      <c r="E18" s="7" t="s">
        <v>12</v>
      </c>
      <c r="F18" s="7" t="s">
        <v>48</v>
      </c>
      <c r="G18" s="7" t="s">
        <v>14</v>
      </c>
    </row>
    <row r="19" customFormat="false" ht="22.35" hidden="false" customHeight="false" outlineLevel="0" collapsed="false">
      <c r="A19" s="4" t="n">
        <v>2</v>
      </c>
      <c r="B19" s="5" t="s">
        <v>38</v>
      </c>
      <c r="C19" s="5" t="s">
        <v>25</v>
      </c>
      <c r="D19" s="5" t="s">
        <v>49</v>
      </c>
      <c r="E19" s="5" t="s">
        <v>50</v>
      </c>
      <c r="F19" s="5" t="s">
        <v>51</v>
      </c>
      <c r="G19" s="8" t="s">
        <v>52</v>
      </c>
    </row>
    <row r="20" customFormat="false" ht="22.35" hidden="false" customHeight="false" outlineLevel="0" collapsed="false">
      <c r="A20" s="6" t="n">
        <v>2</v>
      </c>
      <c r="B20" s="7" t="s">
        <v>38</v>
      </c>
      <c r="C20" s="7" t="s">
        <v>25</v>
      </c>
      <c r="D20" s="7" t="s">
        <v>53</v>
      </c>
      <c r="E20" s="7" t="s">
        <v>12</v>
      </c>
      <c r="F20" s="7" t="s">
        <v>54</v>
      </c>
      <c r="G20" s="7" t="s">
        <v>55</v>
      </c>
    </row>
    <row r="21" customFormat="false" ht="15" hidden="false" customHeight="false" outlineLevel="0" collapsed="false">
      <c r="A21" s="4" t="n">
        <v>2</v>
      </c>
      <c r="B21" s="5" t="s">
        <v>38</v>
      </c>
      <c r="C21" s="5" t="s">
        <v>56</v>
      </c>
      <c r="D21" s="5" t="s">
        <v>57</v>
      </c>
      <c r="E21" s="5" t="s">
        <v>12</v>
      </c>
      <c r="F21" s="5" t="s">
        <v>58</v>
      </c>
      <c r="G21" s="8" t="s">
        <v>59</v>
      </c>
    </row>
    <row r="22" customFormat="false" ht="22.35" hidden="false" customHeight="false" outlineLevel="0" collapsed="false">
      <c r="A22" s="6" t="n">
        <v>3</v>
      </c>
      <c r="B22" s="7" t="s">
        <v>60</v>
      </c>
      <c r="C22" s="7" t="s">
        <v>15</v>
      </c>
      <c r="D22" s="7" t="s">
        <v>61</v>
      </c>
      <c r="E22" s="7" t="s">
        <v>12</v>
      </c>
      <c r="F22" s="7" t="s">
        <v>62</v>
      </c>
      <c r="G22" s="7" t="s">
        <v>63</v>
      </c>
    </row>
    <row r="23" customFormat="false" ht="22.35" hidden="false" customHeight="false" outlineLevel="0" collapsed="false">
      <c r="A23" s="4" t="n">
        <v>3</v>
      </c>
      <c r="B23" s="5" t="s">
        <v>60</v>
      </c>
      <c r="C23" s="5" t="s">
        <v>20</v>
      </c>
      <c r="D23" s="5" t="s">
        <v>64</v>
      </c>
      <c r="E23" s="5" t="s">
        <v>12</v>
      </c>
      <c r="F23" s="5" t="s">
        <v>65</v>
      </c>
      <c r="G23" s="5" t="s">
        <v>14</v>
      </c>
    </row>
    <row r="24" customFormat="false" ht="22.35" hidden="false" customHeight="false" outlineLevel="0" collapsed="false">
      <c r="A24" s="6" t="n">
        <v>3</v>
      </c>
      <c r="B24" s="7" t="s">
        <v>60</v>
      </c>
      <c r="C24" s="7" t="s">
        <v>20</v>
      </c>
      <c r="D24" s="7" t="s">
        <v>66</v>
      </c>
      <c r="E24" s="7" t="s">
        <v>12</v>
      </c>
      <c r="F24" s="7" t="s">
        <v>67</v>
      </c>
      <c r="G24" s="7" t="s">
        <v>14</v>
      </c>
    </row>
    <row r="25" customFormat="false" ht="22.35" hidden="false" customHeight="false" outlineLevel="0" collapsed="false">
      <c r="A25" s="4" t="n">
        <v>3</v>
      </c>
      <c r="B25" s="5" t="s">
        <v>60</v>
      </c>
      <c r="C25" s="5" t="s">
        <v>20</v>
      </c>
      <c r="D25" s="5" t="s">
        <v>68</v>
      </c>
      <c r="E25" s="5" t="s">
        <v>12</v>
      </c>
      <c r="F25" s="5" t="s">
        <v>69</v>
      </c>
      <c r="G25" s="5" t="s">
        <v>14</v>
      </c>
    </row>
    <row r="26" customFormat="false" ht="15" hidden="false" customHeight="false" outlineLevel="0" collapsed="false">
      <c r="A26" s="6" t="n">
        <v>3</v>
      </c>
      <c r="B26" s="7" t="s">
        <v>60</v>
      </c>
      <c r="C26" s="7" t="s">
        <v>25</v>
      </c>
      <c r="D26" s="7" t="s">
        <v>70</v>
      </c>
      <c r="E26" s="7" t="s">
        <v>12</v>
      </c>
      <c r="F26" s="7" t="s">
        <v>71</v>
      </c>
      <c r="G26" s="7" t="s">
        <v>14</v>
      </c>
    </row>
    <row r="27" customFormat="false" ht="15" hidden="false" customHeight="false" outlineLevel="0" collapsed="false">
      <c r="A27" s="4" t="n">
        <v>3</v>
      </c>
      <c r="B27" s="5" t="s">
        <v>60</v>
      </c>
      <c r="C27" s="5" t="s">
        <v>25</v>
      </c>
      <c r="D27" s="5" t="s">
        <v>72</v>
      </c>
      <c r="E27" s="5" t="s">
        <v>12</v>
      </c>
      <c r="F27" s="5" t="s">
        <v>73</v>
      </c>
      <c r="G27" s="5" t="s">
        <v>14</v>
      </c>
    </row>
    <row r="28" customFormat="false" ht="15" hidden="false" customHeight="false" outlineLevel="0" collapsed="false">
      <c r="A28" s="6" t="n">
        <v>3</v>
      </c>
      <c r="B28" s="7" t="s">
        <v>60</v>
      </c>
      <c r="C28" s="7" t="s">
        <v>25</v>
      </c>
      <c r="D28" s="7" t="s">
        <v>74</v>
      </c>
      <c r="E28" s="7" t="s">
        <v>12</v>
      </c>
      <c r="F28" s="7" t="s">
        <v>75</v>
      </c>
      <c r="G28" s="7" t="s">
        <v>14</v>
      </c>
    </row>
    <row r="29" customFormat="false" ht="15" hidden="false" customHeight="false" outlineLevel="0" collapsed="false">
      <c r="A29" s="4" t="n">
        <v>3</v>
      </c>
      <c r="B29" s="5" t="s">
        <v>60</v>
      </c>
      <c r="C29" s="5" t="s">
        <v>25</v>
      </c>
      <c r="D29" s="5" t="s">
        <v>76</v>
      </c>
      <c r="E29" s="5" t="s">
        <v>12</v>
      </c>
      <c r="F29" s="5" t="s">
        <v>77</v>
      </c>
      <c r="G29" s="5" t="s">
        <v>14</v>
      </c>
    </row>
    <row r="30" customFormat="false" ht="15" hidden="false" customHeight="false" outlineLevel="0" collapsed="false">
      <c r="A30" s="6" t="n">
        <v>3</v>
      </c>
      <c r="B30" s="7" t="s">
        <v>60</v>
      </c>
      <c r="C30" s="7" t="s">
        <v>78</v>
      </c>
      <c r="D30" s="7" t="s">
        <v>79</v>
      </c>
      <c r="E30" s="7" t="s">
        <v>12</v>
      </c>
      <c r="F30" s="7" t="s">
        <v>80</v>
      </c>
      <c r="G30" s="9" t="s">
        <v>81</v>
      </c>
    </row>
    <row r="31" customFormat="false" ht="15" hidden="false" customHeight="false" outlineLevel="0" collapsed="false">
      <c r="A31" s="4" t="n">
        <v>4</v>
      </c>
      <c r="B31" s="5" t="s">
        <v>82</v>
      </c>
      <c r="C31" s="5" t="s">
        <v>20</v>
      </c>
      <c r="D31" s="5" t="s">
        <v>83</v>
      </c>
      <c r="E31" s="5" t="s">
        <v>84</v>
      </c>
      <c r="F31" s="5" t="s">
        <v>85</v>
      </c>
      <c r="G31" s="5" t="s">
        <v>86</v>
      </c>
    </row>
    <row r="32" customFormat="false" ht="22.35" hidden="false" customHeight="false" outlineLevel="0" collapsed="false">
      <c r="A32" s="6" t="n">
        <v>4</v>
      </c>
      <c r="B32" s="7" t="s">
        <v>82</v>
      </c>
      <c r="C32" s="7" t="s">
        <v>20</v>
      </c>
      <c r="D32" s="7" t="s">
        <v>87</v>
      </c>
      <c r="E32" s="7" t="s">
        <v>84</v>
      </c>
      <c r="F32" s="7" t="s">
        <v>88</v>
      </c>
      <c r="G32" s="7" t="s">
        <v>89</v>
      </c>
    </row>
    <row r="33" customFormat="false" ht="22.35" hidden="false" customHeight="false" outlineLevel="0" collapsed="false">
      <c r="A33" s="4" t="n">
        <v>4</v>
      </c>
      <c r="B33" s="5" t="s">
        <v>82</v>
      </c>
      <c r="C33" s="5" t="s">
        <v>20</v>
      </c>
      <c r="D33" s="5" t="s">
        <v>90</v>
      </c>
      <c r="E33" s="5" t="s">
        <v>84</v>
      </c>
      <c r="F33" s="5" t="s">
        <v>91</v>
      </c>
      <c r="G33" s="5" t="s">
        <v>86</v>
      </c>
    </row>
    <row r="34" customFormat="false" ht="15" hidden="false" customHeight="false" outlineLevel="0" collapsed="false">
      <c r="A34" s="6" t="n">
        <v>4</v>
      </c>
      <c r="B34" s="7" t="s">
        <v>82</v>
      </c>
      <c r="C34" s="7" t="s">
        <v>25</v>
      </c>
      <c r="D34" s="7" t="s">
        <v>92</v>
      </c>
      <c r="E34" s="7" t="s">
        <v>84</v>
      </c>
      <c r="F34" s="7" t="s">
        <v>93</v>
      </c>
      <c r="G34" s="7" t="s">
        <v>94</v>
      </c>
    </row>
    <row r="35" customFormat="false" ht="22.35" hidden="false" customHeight="false" outlineLevel="0" collapsed="false">
      <c r="A35" s="4" t="n">
        <v>5</v>
      </c>
      <c r="B35" s="5" t="s">
        <v>95</v>
      </c>
      <c r="C35" s="5" t="s">
        <v>15</v>
      </c>
      <c r="D35" s="5" t="s">
        <v>96</v>
      </c>
      <c r="E35" s="5" t="s">
        <v>12</v>
      </c>
      <c r="F35" s="5" t="s">
        <v>97</v>
      </c>
      <c r="G35" s="5" t="s">
        <v>14</v>
      </c>
    </row>
    <row r="36" customFormat="false" ht="15" hidden="false" customHeight="false" outlineLevel="0" collapsed="false">
      <c r="A36" s="6" t="n">
        <v>5</v>
      </c>
      <c r="B36" s="7" t="s">
        <v>95</v>
      </c>
      <c r="C36" s="7" t="s">
        <v>20</v>
      </c>
      <c r="D36" s="7" t="s">
        <v>98</v>
      </c>
      <c r="E36" s="7" t="s">
        <v>12</v>
      </c>
      <c r="F36" s="7" t="s">
        <v>99</v>
      </c>
      <c r="G36" s="7" t="s">
        <v>14</v>
      </c>
    </row>
    <row r="37" customFormat="false" ht="22.35" hidden="false" customHeight="false" outlineLevel="0" collapsed="false">
      <c r="A37" s="4" t="n">
        <v>5</v>
      </c>
      <c r="B37" s="5" t="s">
        <v>95</v>
      </c>
      <c r="C37" s="5" t="s">
        <v>20</v>
      </c>
      <c r="D37" s="5" t="s">
        <v>100</v>
      </c>
      <c r="E37" s="5" t="s">
        <v>12</v>
      </c>
      <c r="F37" s="5" t="s">
        <v>101</v>
      </c>
      <c r="G37" s="5" t="s">
        <v>14</v>
      </c>
    </row>
    <row r="38" customFormat="false" ht="32.8" hidden="false" customHeight="false" outlineLevel="0" collapsed="false">
      <c r="A38" s="6" t="n">
        <v>5</v>
      </c>
      <c r="B38" s="7" t="s">
        <v>95</v>
      </c>
      <c r="C38" s="7" t="s">
        <v>20</v>
      </c>
      <c r="D38" s="7" t="s">
        <v>102</v>
      </c>
      <c r="E38" s="7" t="s">
        <v>12</v>
      </c>
      <c r="F38" s="7" t="s">
        <v>103</v>
      </c>
      <c r="G38" s="7" t="s">
        <v>14</v>
      </c>
    </row>
    <row r="39" customFormat="false" ht="22.35" hidden="false" customHeight="false" outlineLevel="0" collapsed="false">
      <c r="A39" s="4" t="n">
        <v>5</v>
      </c>
      <c r="B39" s="5" t="s">
        <v>95</v>
      </c>
      <c r="C39" s="5" t="s">
        <v>25</v>
      </c>
      <c r="D39" s="5" t="s">
        <v>104</v>
      </c>
      <c r="E39" s="5" t="s">
        <v>12</v>
      </c>
      <c r="F39" s="5" t="s">
        <v>105</v>
      </c>
      <c r="G39" s="5" t="s">
        <v>14</v>
      </c>
    </row>
    <row r="40" customFormat="false" ht="22.35" hidden="false" customHeight="false" outlineLevel="0" collapsed="false">
      <c r="A40" s="6" t="n">
        <v>5</v>
      </c>
      <c r="B40" s="7" t="s">
        <v>95</v>
      </c>
      <c r="C40" s="7" t="s">
        <v>25</v>
      </c>
      <c r="D40" s="7" t="s">
        <v>106</v>
      </c>
      <c r="E40" s="7" t="s">
        <v>12</v>
      </c>
      <c r="F40" s="7" t="s">
        <v>107</v>
      </c>
      <c r="G40" s="7" t="s">
        <v>108</v>
      </c>
    </row>
    <row r="42" customFormat="false" ht="15" hidden="false" customHeight="false" outlineLevel="0" collapsed="false">
      <c r="C42" s="10" t="s">
        <v>109</v>
      </c>
      <c r="D42" s="10" t="n">
        <f aca="false">COUNTA(D5:D40)</f>
        <v>36</v>
      </c>
    </row>
    <row r="43" customFormat="false" ht="15" hidden="false" customHeight="false" outlineLevel="0" collapsed="false">
      <c r="C43" s="11" t="s">
        <v>110</v>
      </c>
      <c r="D43" s="11" t="n">
        <f aca="false">COUNTIF(G5:G40,"PENDING*")</f>
        <v>2</v>
      </c>
    </row>
    <row r="44" customFormat="false" ht="15" hidden="false" customHeight="false" outlineLevel="0" collapsed="false">
      <c r="C44" s="11" t="s">
        <v>111</v>
      </c>
      <c r="D44" s="11" t="n">
        <f aca="false">COUNTA(D5:D40)-COUNTIF(G5:G40,"PENDING*")</f>
        <v>34</v>
      </c>
    </row>
  </sheetData>
  <autoFilter ref="A4:G4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50"/>
    <col collapsed="false" customWidth="true" hidden="false" outlineLevel="0" max="3" min="3" style="0" width="24"/>
    <col collapsed="false" customWidth="true" hidden="false" outlineLevel="0" max="4" min="4" style="0" width="48"/>
    <col collapsed="false" customWidth="true" hidden="false" outlineLevel="0" max="5" min="5" style="0" width="62"/>
  </cols>
  <sheetData>
    <row r="1" customFormat="false" ht="16.15" hidden="false" customHeight="false" outlineLevel="0" collapsed="false">
      <c r="A1" s="1" t="s">
        <v>112</v>
      </c>
    </row>
    <row r="2" customFormat="false" ht="15" hidden="false" customHeight="false" outlineLevel="0" collapsed="false">
      <c r="A2" s="2" t="s">
        <v>113</v>
      </c>
    </row>
    <row r="4" customFormat="false" ht="30" hidden="false" customHeight="true" outlineLevel="0" collapsed="false">
      <c r="A4" s="3" t="s">
        <v>114</v>
      </c>
      <c r="B4" s="3" t="s">
        <v>6</v>
      </c>
      <c r="C4" s="3" t="s">
        <v>115</v>
      </c>
      <c r="D4" s="3" t="s">
        <v>116</v>
      </c>
      <c r="E4" s="3" t="s">
        <v>117</v>
      </c>
    </row>
    <row r="5" customFormat="false" ht="22.35" hidden="false" customHeight="false" outlineLevel="0" collapsed="false">
      <c r="A5" s="5" t="s">
        <v>12</v>
      </c>
      <c r="B5" s="5" t="s">
        <v>118</v>
      </c>
      <c r="C5" s="5" t="s">
        <v>119</v>
      </c>
      <c r="D5" s="5" t="s">
        <v>120</v>
      </c>
      <c r="E5" s="5" t="s">
        <v>121</v>
      </c>
    </row>
    <row r="6" customFormat="false" ht="15" hidden="false" customHeight="false" outlineLevel="0" collapsed="false">
      <c r="A6" s="7" t="s">
        <v>84</v>
      </c>
      <c r="B6" s="7" t="s">
        <v>122</v>
      </c>
      <c r="C6" s="7" t="s">
        <v>123</v>
      </c>
      <c r="D6" s="7" t="s">
        <v>124</v>
      </c>
      <c r="E6" s="7" t="s">
        <v>125</v>
      </c>
    </row>
    <row r="7" customFormat="false" ht="15" hidden="false" customHeight="false" outlineLevel="0" collapsed="false">
      <c r="A7" s="5" t="s">
        <v>42</v>
      </c>
      <c r="B7" s="5" t="s">
        <v>126</v>
      </c>
      <c r="C7" s="5" t="s">
        <v>127</v>
      </c>
      <c r="D7" s="5" t="s">
        <v>128</v>
      </c>
      <c r="E7" s="5" t="s">
        <v>129</v>
      </c>
    </row>
    <row r="8" customFormat="false" ht="15" hidden="false" customHeight="false" outlineLevel="0" collapsed="false">
      <c r="A8" s="7" t="s">
        <v>50</v>
      </c>
      <c r="B8" s="7" t="s">
        <v>130</v>
      </c>
      <c r="C8" s="7" t="s">
        <v>127</v>
      </c>
      <c r="D8" s="7" t="s">
        <v>131</v>
      </c>
      <c r="E8" s="7" t="s">
        <v>129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34"/>
    <col collapsed="false" customWidth="true" hidden="false" outlineLevel="0" max="2" min="2" style="0" width="100"/>
  </cols>
  <sheetData>
    <row r="1" customFormat="false" ht="16.15" hidden="false" customHeight="false" outlineLevel="0" collapsed="false">
      <c r="A1" s="1" t="s">
        <v>132</v>
      </c>
    </row>
    <row r="4" customFormat="false" ht="30" hidden="false" customHeight="true" outlineLevel="0" collapsed="false">
      <c r="A4" s="3" t="s">
        <v>133</v>
      </c>
      <c r="B4" s="3" t="s">
        <v>116</v>
      </c>
    </row>
    <row r="5" customFormat="false" ht="15" hidden="false" customHeight="false" outlineLevel="0" collapsed="false">
      <c r="A5" s="12" t="s">
        <v>134</v>
      </c>
      <c r="B5" s="13" t="s">
        <v>135</v>
      </c>
    </row>
    <row r="6" customFormat="false" ht="15" hidden="false" customHeight="false" outlineLevel="0" collapsed="false">
      <c r="A6" s="12" t="s">
        <v>136</v>
      </c>
      <c r="B6" s="13" t="s">
        <v>137</v>
      </c>
    </row>
    <row r="7" customFormat="false" ht="15" hidden="false" customHeight="false" outlineLevel="0" collapsed="false">
      <c r="A7" s="12" t="s">
        <v>138</v>
      </c>
      <c r="B7" s="13" t="s">
        <v>139</v>
      </c>
    </row>
    <row r="8" customFormat="false" ht="15" hidden="false" customHeight="false" outlineLevel="0" collapsed="false">
      <c r="A8" s="12" t="s">
        <v>140</v>
      </c>
      <c r="B8" s="13" t="s">
        <v>141</v>
      </c>
    </row>
    <row r="9" customFormat="false" ht="22.35" hidden="false" customHeight="false" outlineLevel="0" collapsed="false">
      <c r="A9" s="12" t="s">
        <v>142</v>
      </c>
      <c r="B9" s="13" t="s">
        <v>143</v>
      </c>
    </row>
    <row r="10" customFormat="false" ht="22.35" hidden="false" customHeight="false" outlineLevel="0" collapsed="false">
      <c r="A10" s="12" t="s">
        <v>144</v>
      </c>
      <c r="B10" s="13" t="s">
        <v>145</v>
      </c>
    </row>
    <row r="11" customFormat="false" ht="22.35" hidden="false" customHeight="false" outlineLevel="0" collapsed="false">
      <c r="A11" s="12" t="s">
        <v>146</v>
      </c>
      <c r="B11" s="13" t="s">
        <v>147</v>
      </c>
    </row>
    <row r="12" customFormat="false" ht="15" hidden="false" customHeight="false" outlineLevel="0" collapsed="false">
      <c r="A12" s="12" t="s">
        <v>148</v>
      </c>
      <c r="B12" s="13" t="s">
        <v>149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2026-09-24T08:33:53Z</dcterms:created>
  <dc:creator>openpyxl</dc:creator>
  <dc:description/>
  <dc:language>en-US</dc:language>
  <cp:lastModifiedBy/>
  <dcterms:modified xsi:type="dcterms:W3CDTF">2026-09-24T08:33:53Z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